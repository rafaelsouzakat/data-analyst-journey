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ckenzie365-my.sharepoint.com/personal/10737786_mackenzista_com_br/Documents/Carreira/DataAnalyst/excel-begginer-lessons/02-formulas/"/>
    </mc:Choice>
  </mc:AlternateContent>
  <xr:revisionPtr revIDLastSave="59" documentId="8_{AEE5DA8A-F772-4B0E-A554-1053E2C64027}" xr6:coauthVersionLast="47" xr6:coauthVersionMax="47" xr10:uidLastSave="{B2733EF7-4375-4678-AC41-A4A495E46537}"/>
  <bookViews>
    <workbookView xWindow="-120" yWindow="-120" windowWidth="29040" windowHeight="1572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3" l="1"/>
  <c r="J4" i="13"/>
  <c r="J5" i="13"/>
  <c r="J6" i="13"/>
  <c r="J7" i="13"/>
  <c r="J8" i="13"/>
  <c r="J9" i="13"/>
  <c r="J10" i="13"/>
  <c r="J2" i="13"/>
  <c r="K3" i="13"/>
  <c r="K4" i="13"/>
  <c r="K5" i="13"/>
  <c r="K6" i="13"/>
  <c r="K7" i="13"/>
  <c r="K8" i="13"/>
  <c r="K9" i="13"/>
  <c r="K10" i="13"/>
  <c r="K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2" i="1"/>
  <c r="J3" i="6"/>
  <c r="J4" i="6"/>
  <c r="J5" i="6"/>
  <c r="J6" i="6"/>
  <c r="J7" i="6"/>
  <c r="J8" i="6"/>
  <c r="J9" i="6"/>
  <c r="J10" i="6"/>
  <c r="J2" i="6"/>
  <c r="M3" i="3"/>
  <c r="M4" i="3"/>
  <c r="M5" i="3"/>
  <c r="M6" i="3"/>
  <c r="M7" i="3"/>
  <c r="M8" i="3"/>
  <c r="M9" i="3"/>
  <c r="M10" i="3"/>
  <c r="M2" i="3"/>
  <c r="L10" i="3"/>
  <c r="L9" i="3"/>
  <c r="L8" i="3"/>
  <c r="L7" i="3"/>
  <c r="L6" i="3"/>
  <c r="L5" i="3"/>
  <c r="L4" i="3"/>
  <c r="L3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<sst xmlns="http://schemas.openxmlformats.org/spreadsheetml/2006/main" count="570" uniqueCount="91">
  <si>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</si>
  <si>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</si>
  <si>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</si>
  <si>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</si>
  <si>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</si>
  <si>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</si>
  <si>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</si>
  <si>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</si>
  <si>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</si>
  <si>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</si>
  <si>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</si>
  <si>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</si>
  <si>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</si>
  <si>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</si>
  <si>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</si>
  <si>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</si>
  <si>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</si>
  <si>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</si>
  <si>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</si>
  <si>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</si>
  <si>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</si>
  <si>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</si>
  <si>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</si>
  <si>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</si>
  <si>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</si>
  <si>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</si>
  <si>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</si>
  <si>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</si>
  <si>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</si>
  <si>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</si>
  <si>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</si>
  <si>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</si>
  <si>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</si>
  <si>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</si>
  <si>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</si>
  <si>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</si>
  <si>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</si>
  <si>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</si>
  <si>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</si>
  <si>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</si>
  <si>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</si>
  <si>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</si>
  <si>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</si>
  <si>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</si>
  <si>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</si>
  <si>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</si>
  <si>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</si>
  <si>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</si>
  <si>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</si>
  <si>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</si>
  <si>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</si>
  <si>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</si>
  <si>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</si>
  <si>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</si>
  <si>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</si>
  <si>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</si>
  <si>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</si>
  <si>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</si>
  <si>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</si>
  <si>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</si>
  <si>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</si>
  <si>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</si>
  <si>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</si>
  <si>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</si>
  <si>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</si>
  <si>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</si>
  <si>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</si>
  <si>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</si>
  <si>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</si>
  <si>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</si>
  <si>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</si>
  <si>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</si>
  <si>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</si>
  <si>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</si>
  <si>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</si>
  <si>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</si>
  <si>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</si>
  <si>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</si>
  <si>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</si>
  <si>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</si>
  <si>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</si>
  <si>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</si>
  <si>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</si>
  <si>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</si>
  <si>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</si>
  <si>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</si>
  <si>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</si>
  <si>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It's highly reccommended remembering this one!</t>
  </si>
  <si>
    <t>12-3-2015</t>
  </si>
  <si>
    <t>1-5-2000</t>
  </si>
  <si>
    <t>My Excel is in portuguese date format, so it doesn't work properly.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</si>
</sst>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F16" sqref="F16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I22" sqref="I22"/>
    </sheetView>
  </sheetViews>
  <sheetFormatPr defaultColWidth="13.7109375" defaultRowHeight="15" x14ac:dyDescent="0.25"/>
  <cols>
    <col min="1" max="1" width="10.7109375" bestFit="1" customWidth="1"/>
    <col min="2" max="3" width="13.7109375" customWidth="1"/>
    <col min="4" max="4" width="7.7109375" customWidth="1"/>
    <col min="5" max="10" width="13.7109375" customWidth="1"/>
    <col min="11" max="11" width="21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81</v>
      </c>
      <c r="K1" t="s">
        <v>82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 &gt; 30, "Old", "Young")</f>
        <v>Young</v>
      </c>
      <c r="K2" t="str">
        <f>_xlfn.IFS(F2:F10 = "Salesman", "Sales", F2:F10 = "HR", "Fire Immediately", F2:F10 = "Regional Manager", 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 &gt; 30, "Old", "Young")</f>
        <v>Young</v>
      </c>
      <c r="K3" t="e">
        <f t="shared" ref="K3:K10" si="1">_xlfn.IFS(F3:F11 = "Salesman", "Sales", F3:F11 = "HR", "Fire Immediately", F3:F11 = "Regional Manager", "Give Christmas Bonus")</f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si="1"/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si="1"/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si="1"/>
        <v>#N/A</v>
      </c>
    </row>
  </sheetData>
  <pageMargins left="0.7" right="0.7" top="0.75" bottom="0.75" header="0.3" footer="0.3"/>
  <ignoredErrors>
    <ignoredError sqref="J3 J4:J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G26" sqref="G26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N10"/>
  <sheetViews>
    <sheetView workbookViewId="0">
      <selection activeCell="L19" sqref="L19"/>
    </sheetView>
  </sheetViews>
  <sheetFormatPr defaultColWidth="14.5703125" defaultRowHeight="15" x14ac:dyDescent="0.25"/>
  <cols>
    <col min="4" max="4" width="8" customWidth="1"/>
    <col min="10" max="10" width="43.28515625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  <c r="N1" t="s">
        <v>87</v>
      </c>
    </row>
    <row r="2" spans="1:14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 3)</f>
        <v>Jim</v>
      </c>
      <c r="L2" t="str">
        <f>RIGHT(A2:A10, 1)</f>
        <v>1</v>
      </c>
      <c r="M2" t="str">
        <f>RIGHT(H2:H10, 4)</f>
        <v>2001</v>
      </c>
    </row>
    <row r="3" spans="1:14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 3)</f>
        <v>Pam</v>
      </c>
      <c r="L3" t="str">
        <f t="shared" ref="L3:L10" si="1">RIGHT(A3:A11, 1)</f>
        <v>2</v>
      </c>
      <c r="M3" t="str">
        <f t="shared" ref="M3:M10" si="2">RIGHT(H3:H11, 4)</f>
        <v>1999</v>
      </c>
    </row>
    <row r="4" spans="1:14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4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4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4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4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4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4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  <ignoredErrors>
    <ignoredError sqref="L3:L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E13" sqref="E13:E1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69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 "dd/mm/aaaa")</f>
        <v>02/11/2001</v>
      </c>
      <c r="K2" s="2"/>
      <c r="L2" t="str">
        <f>TEXT(J2:J10, "dd/mm/aaaa")</f>
        <v>02/11/2001</v>
      </c>
      <c r="M2" t="str">
        <f>RIGHT(L2:L10,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 "dd/mm/aaaa")</f>
        <v>03/10/1999</v>
      </c>
      <c r="K3" s="2"/>
      <c r="L3" t="str">
        <f t="shared" si="0"/>
        <v>03/10/1999</v>
      </c>
      <c r="M3" t="str">
        <f t="shared" ref="M3:M10" si="1">RIGHT(L3:L11, 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  <c r="L4" t="str">
        <f t="shared" si="0"/>
        <v>04/07/2000</v>
      </c>
      <c r="M4" t="str">
        <f t="shared" si="1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0"/>
        <v>05/01/2000</v>
      </c>
      <c r="M5" t="str">
        <f t="shared" si="1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  <c r="L6" t="str">
        <f t="shared" si="0"/>
        <v>06/05/2001</v>
      </c>
      <c r="M6" t="str">
        <f t="shared" si="1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0"/>
        <v>07/12/1995</v>
      </c>
      <c r="M7" t="str">
        <f t="shared" si="1"/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  <c r="L8" t="str">
        <f t="shared" si="0"/>
        <v>08/11/2003</v>
      </c>
      <c r="M8" t="str">
        <f t="shared" si="1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0"/>
        <v>09/06/2002</v>
      </c>
      <c r="M9" t="str">
        <f t="shared" si="1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  <c r="L10" t="str">
        <f t="shared" si="0"/>
        <v>10/08/2003</v>
      </c>
      <c r="M10" t="str">
        <f t="shared" si="1"/>
        <v>2003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12" sqref="J1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67</v>
      </c>
      <c r="K1" t="s">
        <v>68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5">
      <c r="A4">
        <v>1003</v>
      </c>
      <c r="B4" s="2" t="s">
        <v>6</v>
      </c>
      <c r="C4" s="2" t="s">
        <v>66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2" t="s">
        <v>14</v>
      </c>
      <c r="C6" s="2" t="s">
        <v>65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2" t="s">
        <v>8</v>
      </c>
      <c r="C7" s="2" t="s">
        <v>64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2" t="s">
        <v>16</v>
      </c>
      <c r="C9" s="2" t="s">
        <v>63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2" t="s">
        <v>10</v>
      </c>
      <c r="C10" s="2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N15" sqref="N15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25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E13" sqref="E1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71</v>
      </c>
      <c r="L1" t="s">
        <v>72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 "/", "-", 1)</f>
        <v>11-2/2001</v>
      </c>
      <c r="K2" t="str">
        <f>SUBSTITUTE(H2:H10, "/", "-", 2)</f>
        <v>11/2-2001</v>
      </c>
      <c r="L2" t="str">
        <f>SUBSTITUTE(H2:H10, "/", 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 "/", "-", 1)</f>
        <v>10-3/1999</v>
      </c>
      <c r="K3" t="str">
        <f t="shared" ref="K3:K10" si="1">SUBSTITUTE(H3:H11, "/", "-", 2)</f>
        <v>10/3-1999</v>
      </c>
      <c r="L3" t="str">
        <f t="shared" ref="L3:L10" si="2">SUBSTITUTE(H3:H11, "/", "-")</f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89</v>
      </c>
      <c r="I5" s="2" t="s">
        <v>88</v>
      </c>
      <c r="J5" t="str">
        <f t="shared" si="0"/>
        <v>1-5-2000</v>
      </c>
      <c r="K5" t="str">
        <f t="shared" si="1"/>
        <v>1-5-2000</v>
      </c>
      <c r="L5" t="str">
        <f t="shared" si="2"/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K3" sqref="K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73</v>
      </c>
      <c r="K1" t="s">
        <v>74</v>
      </c>
      <c r="L1" t="s">
        <v>75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 E2:E10, "Female", D2:D10, 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E13" sqref="E1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76</v>
      </c>
      <c r="K1" t="s">
        <v>77</v>
      </c>
      <c r="L1" t="s">
        <v>78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 "&gt;45000")</f>
        <v>5</v>
      </c>
      <c r="L2">
        <f>COUNTIFS(A2:A10, "&gt;1005", E2:E10, 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2"/>
  <sheetViews>
    <sheetView tabSelected="1" workbookViewId="0">
      <selection activeCell="H14" sqref="H14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83</v>
      </c>
      <c r="K1" t="s">
        <v>84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36933</v>
      </c>
      <c r="I2" s="1">
        <v>42164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36229</v>
      </c>
      <c r="I3" s="1">
        <v>42287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36623</v>
      </c>
      <c r="I4" s="1">
        <v>42956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36647</v>
      </c>
      <c r="I5" s="1">
        <v>42075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37047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37047</v>
      </c>
      <c r="I7" s="1">
        <v>41587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37844</v>
      </c>
      <c r="I8" s="1">
        <v>41587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37505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37902</v>
      </c>
      <c r="I10" s="2" t="s">
        <v>62</v>
      </c>
      <c r="J10" t="e">
        <f t="shared" si="0"/>
        <v>#VALUE!</v>
      </c>
      <c r="K10" t="e">
        <f t="shared" si="1"/>
        <v>#VALUE!</v>
      </c>
    </row>
    <row r="12" spans="1:11" x14ac:dyDescent="0.25">
      <c r="J1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RAFAEL SOUZA KATAHIRA</cp:lastModifiedBy>
  <dcterms:created xsi:type="dcterms:W3CDTF">2021-12-16T14:18:34Z</dcterms:created>
  <dcterms:modified xsi:type="dcterms:W3CDTF">2026-09-04T15:19:55Z</dcterms:modified>
</cp:coreProperties>
</file>